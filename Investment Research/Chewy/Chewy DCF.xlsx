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sinDass\Downloads\"/>
    </mc:Choice>
  </mc:AlternateContent>
  <xr:revisionPtr revIDLastSave="0" documentId="13_ncr:1_{16675E60-66AD-4EA9-9AC0-CC002D8C957D}" xr6:coauthVersionLast="47" xr6:coauthVersionMax="47" xr10:uidLastSave="{00000000-0000-0000-0000-000000000000}"/>
  <bookViews>
    <workbookView xWindow="71880" yWindow="5430" windowWidth="29040" windowHeight="15720" firstSheet="1" activeTab="1" xr2:uid="{608A0F95-C411-4E87-BE42-51159C3A09C7}"/>
  </bookViews>
  <sheets>
    <sheet name="__FDSCACHE__" sheetId="6" state="veryHidden" r:id="rId1"/>
    <sheet name="DCF" sheetId="5" r:id="rId2"/>
    <sheet name="WACC" sheetId="7" r:id="rId3"/>
  </sheets>
  <definedNames>
    <definedName name="tgr" localSheetId="2">WACC!#REF!</definedName>
    <definedName name="tgr">DCF!$D$10</definedName>
    <definedName name="wacc" localSheetId="2">WACC!#REF!</definedName>
    <definedName name="wacc">DCF!$D$9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7" l="1"/>
  <c r="D20" i="7"/>
  <c r="D14" i="7" s="1"/>
  <c r="F51" i="5"/>
  <c r="G51" i="5"/>
  <c r="H51" i="5"/>
  <c r="I51" i="5"/>
  <c r="J51" i="5"/>
  <c r="K51" i="5"/>
  <c r="L51" i="5"/>
  <c r="M51" i="5"/>
  <c r="N51" i="5"/>
  <c r="E51" i="5"/>
  <c r="F50" i="5"/>
  <c r="G50" i="5"/>
  <c r="H50" i="5"/>
  <c r="I50" i="5"/>
  <c r="J50" i="5"/>
  <c r="K50" i="5"/>
  <c r="L50" i="5"/>
  <c r="M50" i="5"/>
  <c r="N50" i="5"/>
  <c r="E50" i="5"/>
  <c r="F48" i="5"/>
  <c r="G48" i="5"/>
  <c r="H48" i="5"/>
  <c r="I48" i="5"/>
  <c r="J48" i="5"/>
  <c r="K48" i="5"/>
  <c r="L48" i="5"/>
  <c r="M48" i="5"/>
  <c r="N48" i="5"/>
  <c r="E48" i="5"/>
  <c r="F47" i="5"/>
  <c r="G47" i="5"/>
  <c r="H47" i="5"/>
  <c r="I47" i="5"/>
  <c r="J47" i="5"/>
  <c r="K47" i="5"/>
  <c r="L47" i="5"/>
  <c r="M47" i="5"/>
  <c r="N47" i="5"/>
  <c r="E47" i="5"/>
  <c r="F45" i="5"/>
  <c r="G45" i="5"/>
  <c r="H45" i="5"/>
  <c r="I45" i="5"/>
  <c r="J45" i="5"/>
  <c r="K45" i="5"/>
  <c r="L45" i="5"/>
  <c r="M45" i="5"/>
  <c r="N45" i="5"/>
  <c r="E45" i="5"/>
  <c r="J44" i="5"/>
  <c r="K44" i="5"/>
  <c r="L44" i="5"/>
  <c r="M44" i="5"/>
  <c r="N44" i="5"/>
  <c r="F44" i="5"/>
  <c r="G44" i="5"/>
  <c r="H44" i="5"/>
  <c r="I44" i="5"/>
  <c r="E44" i="5"/>
  <c r="K42" i="5"/>
  <c r="K53" i="5" s="1"/>
  <c r="N42" i="5"/>
  <c r="N53" i="5" s="1"/>
  <c r="I40" i="5"/>
  <c r="H40" i="5"/>
  <c r="G40" i="5"/>
  <c r="F40" i="5"/>
  <c r="E40" i="5"/>
  <c r="N39" i="5"/>
  <c r="M39" i="5"/>
  <c r="M42" i="5" s="1"/>
  <c r="M53" i="5" s="1"/>
  <c r="L39" i="5"/>
  <c r="L42" i="5" s="1"/>
  <c r="L53" i="5" s="1"/>
  <c r="K39" i="5"/>
  <c r="J39" i="5"/>
  <c r="J42" i="5" s="1"/>
  <c r="J53" i="5" s="1"/>
  <c r="F37" i="5"/>
  <c r="G37" i="5"/>
  <c r="H37" i="5"/>
  <c r="I37" i="5"/>
  <c r="J37" i="5"/>
  <c r="K37" i="5"/>
  <c r="L37" i="5"/>
  <c r="M37" i="5"/>
  <c r="N37" i="5"/>
  <c r="E37" i="5"/>
  <c r="N34" i="5"/>
  <c r="M34" i="5"/>
  <c r="L34" i="5"/>
  <c r="K34" i="5"/>
  <c r="J34" i="5"/>
  <c r="I34" i="5"/>
  <c r="H34" i="5"/>
  <c r="G34" i="5"/>
  <c r="F34" i="5"/>
  <c r="K29" i="5"/>
  <c r="L29" i="5"/>
  <c r="M29" i="5"/>
  <c r="N29" i="5"/>
  <c r="J29" i="5"/>
  <c r="K26" i="5"/>
  <c r="L26" i="5"/>
  <c r="M26" i="5"/>
  <c r="N26" i="5"/>
  <c r="J26" i="5"/>
  <c r="K23" i="5"/>
  <c r="L23" i="5"/>
  <c r="M23" i="5"/>
  <c r="N23" i="5"/>
  <c r="J23" i="5"/>
  <c r="K19" i="5"/>
  <c r="L19" i="5"/>
  <c r="M19" i="5"/>
  <c r="N19" i="5"/>
  <c r="J19" i="5"/>
  <c r="M17" i="5"/>
  <c r="N17" i="5"/>
  <c r="E30" i="5"/>
  <c r="I30" i="5"/>
  <c r="H30" i="5"/>
  <c r="E27" i="5"/>
  <c r="I27" i="5"/>
  <c r="H27" i="5"/>
  <c r="G27" i="5"/>
  <c r="G24" i="5"/>
  <c r="F24" i="5"/>
  <c r="E24" i="5"/>
  <c r="G20" i="5"/>
  <c r="I20" i="5"/>
  <c r="H20" i="5"/>
  <c r="E20" i="5"/>
  <c r="K17" i="5"/>
  <c r="J17" i="5"/>
  <c r="L17" i="5"/>
  <c r="I17" i="5"/>
  <c r="H17" i="5"/>
  <c r="G17" i="5"/>
  <c r="F17" i="5"/>
  <c r="E17" i="5"/>
  <c r="J14" i="5"/>
  <c r="N14" i="5"/>
  <c r="M14" i="5"/>
  <c r="I14" i="5"/>
  <c r="H14" i="5"/>
  <c r="G14" i="5"/>
  <c r="G30" i="5"/>
  <c r="F14" i="5"/>
  <c r="D9" i="7" l="1"/>
  <c r="D22" i="7" s="1"/>
  <c r="D9" i="5" s="1"/>
  <c r="K14" i="5"/>
  <c r="F27" i="5"/>
  <c r="L14" i="5"/>
  <c r="H24" i="5"/>
  <c r="I24" i="5"/>
  <c r="F30" i="5"/>
  <c r="F20" i="5"/>
  <c r="K11" i="5"/>
  <c r="L11" i="5" s="1"/>
  <c r="M11" i="5" s="1"/>
  <c r="N11" i="5" s="1"/>
  <c r="K31" i="5"/>
  <c r="L31" i="5" s="1"/>
  <c r="M31" i="5" s="1"/>
  <c r="N31" i="5" s="1"/>
  <c r="N54" i="5" l="1"/>
  <c r="N56" i="5"/>
  <c r="N57" i="5" s="1"/>
  <c r="M54" i="5"/>
  <c r="J54" i="5"/>
  <c r="K54" i="5"/>
  <c r="L54" i="5"/>
  <c r="F12" i="5"/>
  <c r="G12" i="5" s="1"/>
  <c r="H12" i="5" s="1"/>
  <c r="I12" i="5" s="1"/>
  <c r="J12" i="5" s="1"/>
  <c r="K12" i="5" s="1"/>
  <c r="L12" i="5" s="1"/>
  <c r="M12" i="5" s="1"/>
  <c r="N12" i="5" s="1"/>
  <c r="F22" i="5"/>
  <c r="G22" i="5" s="1"/>
  <c r="H22" i="5" s="1"/>
  <c r="I22" i="5" s="1"/>
  <c r="J22" i="5" s="1"/>
  <c r="N58" i="5" l="1"/>
  <c r="N61" i="5" s="1"/>
  <c r="N63" i="5" s="1"/>
  <c r="G4" i="5" s="1"/>
  <c r="K5" i="5" s="1"/>
  <c r="K22" i="5"/>
  <c r="K32" i="5" s="1"/>
  <c r="E32" i="5"/>
  <c r="F32" i="5"/>
  <c r="G32" i="5"/>
  <c r="H32" i="5"/>
  <c r="I32" i="5"/>
  <c r="J32" i="5"/>
  <c r="L22" i="5" l="1"/>
  <c r="M22" i="5" l="1"/>
  <c r="L32" i="5"/>
  <c r="N22" i="5" l="1"/>
  <c r="M32" i="5"/>
  <c r="N3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E22C32CA-E3DE-43EC-839B-B4EA5E988576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Timestamp="1658683423"&gt;&lt;FQL&gt;&lt;Q&gt;AMZN^FE_ESTIMATE(DEP_AMORT_EXP,MEAN,ANN_ROLL,2022,NOW,,,'')&lt;/Q&gt;&lt;R&gt;1&lt;/R&gt;&lt;C&gt;1&lt;/C&gt;&lt;D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<sst xmlns="http://schemas.openxmlformats.org/spreadsheetml/2006/main" count="75" uniqueCount="49">
  <si>
    <t>Ticker</t>
  </si>
  <si>
    <t>Date</t>
  </si>
  <si>
    <t>x</t>
  </si>
  <si>
    <t>Assumptions</t>
  </si>
  <si>
    <t>Income Statement</t>
  </si>
  <si>
    <t>Cash Flow Items</t>
  </si>
  <si>
    <t>DCF</t>
  </si>
  <si>
    <t>Revenue</t>
  </si>
  <si>
    <t>% growth</t>
  </si>
  <si>
    <t>EBIT</t>
  </si>
  <si>
    <t>% of sales</t>
  </si>
  <si>
    <t>Taxes</t>
  </si>
  <si>
    <t>% of EBIT</t>
  </si>
  <si>
    <t>D&amp;A</t>
  </si>
  <si>
    <t>CapEx</t>
  </si>
  <si>
    <t>Change in NWC</t>
  </si>
  <si>
    <t>% margin</t>
  </si>
  <si>
    <t>EBIAT</t>
  </si>
  <si>
    <t>Unlevered FCF</t>
  </si>
  <si>
    <t>Present Value of FCF</t>
  </si>
  <si>
    <t>WACC</t>
  </si>
  <si>
    <t>TGR</t>
  </si>
  <si>
    <t>Valuation Assumptions</t>
  </si>
  <si>
    <t>This sheet contains FactSet XML data for use with this workbook's =FDS codes.  Modifying the worksheet's contents may damage the workbook's =FDS functionality.</t>
  </si>
  <si>
    <t>Enterprise Value</t>
  </si>
  <si>
    <t>+ Cash</t>
  </si>
  <si>
    <t>- Debt</t>
  </si>
  <si>
    <t>Equity Value</t>
  </si>
  <si>
    <t>Shares</t>
  </si>
  <si>
    <t>Share Price</t>
  </si>
  <si>
    <t>Implied Share Price</t>
  </si>
  <si>
    <t>Terminal Value</t>
  </si>
  <si>
    <t>Present Value of Terminal Value</t>
  </si>
  <si>
    <t>Today's Share Price</t>
  </si>
  <si>
    <t>Debt</t>
  </si>
  <si>
    <t>% Debt</t>
  </si>
  <si>
    <t>Cost of Debt</t>
  </si>
  <si>
    <t>Tax Rate</t>
  </si>
  <si>
    <t>% Equity</t>
  </si>
  <si>
    <t>Cost of Equity</t>
  </si>
  <si>
    <t>Risk Free Rate</t>
  </si>
  <si>
    <t>Beta</t>
  </si>
  <si>
    <t>Market Risk Premium</t>
  </si>
  <si>
    <t>Debt + Equity</t>
  </si>
  <si>
    <t>WACC =  (% Equity x Cost of Equity) + (% Debt x Cost of Debt x (1 -Tax rate))</t>
  </si>
  <si>
    <t>Cost of Equity = Risk Free Rate + (Beta x (Expected Market Return - Risk Free Rate))</t>
  </si>
  <si>
    <t>Upside (Downside)</t>
  </si>
  <si>
    <t>Chewy DCF</t>
  </si>
  <si>
    <t>CHWY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</si>
</sst>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165" formatCode="0.0%"/>
    <numFmt numFmtId="166" formatCode="0.0%;\(0.0%\)"/>
    <numFmt numFmtId="167" formatCode="_([$$-409]* #,##0.00_);_([$$-409]* \(#,##0.00\);_([$$-409]* &quot;-&quot;??_);_(@_)"/>
    <numFmt numFmtId="168" formatCode="0%;\(0%\)"/>
    <numFmt numFmtId="169" formatCode="&quot;$&quot;#,##0.00"/>
    <numFmt numFmtId="170" formatCode="&quot;$&quot;#,##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66">
    <xf numFmtId="0" fontId="0" fillId="0" borderId="0" xfId="0"/>
    <xf numFmtId="0" fontId="0" fillId="0" borderId="1" xfId="0" applyBorder="1"/>
    <xf numFmtId="0" fontId="5" fillId="0" borderId="1" xfId="0" applyFont="1" applyBorder="1"/>
    <xf numFmtId="0" fontId="0" fillId="3" borderId="0" xfId="0" applyFill="1"/>
    <xf numFmtId="0" fontId="2" fillId="3" borderId="0" xfId="0" applyFont="1" applyFill="1"/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 applyAlignment="1">
      <alignment horizontal="center"/>
    </xf>
    <xf numFmtId="0" fontId="6" fillId="4" borderId="0" xfId="0" applyFont="1" applyFill="1"/>
    <xf numFmtId="0" fontId="7" fillId="4" borderId="0" xfId="0" applyFont="1" applyFill="1"/>
    <xf numFmtId="3" fontId="6" fillId="4" borderId="0" xfId="0" applyNumberFormat="1" applyFont="1" applyFill="1"/>
    <xf numFmtId="165" fontId="8" fillId="4" borderId="0" xfId="1" applyNumberFormat="1" applyFont="1" applyFill="1"/>
    <xf numFmtId="0" fontId="8" fillId="4" borderId="0" xfId="0" applyFont="1" applyFill="1"/>
    <xf numFmtId="0" fontId="9" fillId="0" borderId="0" xfId="0" applyFont="1"/>
    <xf numFmtId="3" fontId="0" fillId="0" borderId="0" xfId="0" applyNumberFormat="1"/>
    <xf numFmtId="3" fontId="10" fillId="4" borderId="0" xfId="0" applyNumberFormat="1" applyFont="1" applyFill="1"/>
    <xf numFmtId="3" fontId="11" fillId="0" borderId="0" xfId="0" applyNumberFormat="1" applyFont="1"/>
    <xf numFmtId="165" fontId="8" fillId="4" borderId="0" xfId="1" applyNumberFormat="1" applyFont="1" applyFill="1" applyBorder="1"/>
    <xf numFmtId="9" fontId="0" fillId="0" borderId="0" xfId="1" applyFont="1"/>
    <xf numFmtId="37" fontId="10" fillId="4" borderId="0" xfId="0" applyNumberFormat="1" applyFont="1" applyFill="1"/>
    <xf numFmtId="0" fontId="3" fillId="0" borderId="0" xfId="0" applyFont="1"/>
    <xf numFmtId="165" fontId="0" fillId="2" borderId="3" xfId="0" applyNumberFormat="1" applyFill="1" applyBorder="1" applyAlignment="1">
      <alignment horizontal="center"/>
    </xf>
    <xf numFmtId="165" fontId="9" fillId="0" borderId="0" xfId="1" applyNumberFormat="1" applyFont="1"/>
    <xf numFmtId="165" fontId="6" fillId="4" borderId="0" xfId="1" applyNumberFormat="1" applyFont="1" applyFill="1"/>
    <xf numFmtId="6" fontId="6" fillId="4" borderId="0" xfId="0" applyNumberFormat="1" applyFont="1" applyFill="1"/>
    <xf numFmtId="165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3" fontId="12" fillId="4" borderId="0" xfId="0" applyNumberFormat="1" applyFont="1" applyFill="1"/>
    <xf numFmtId="37" fontId="11" fillId="0" borderId="0" xfId="0" applyNumberFormat="1" applyFont="1"/>
    <xf numFmtId="37" fontId="6" fillId="0" borderId="0" xfId="0" applyNumberFormat="1" applyFont="1"/>
    <xf numFmtId="14" fontId="0" fillId="0" borderId="0" xfId="0" applyNumberFormat="1"/>
    <xf numFmtId="0" fontId="0" fillId="0" borderId="0" xfId="0" quotePrefix="1"/>
    <xf numFmtId="167" fontId="0" fillId="0" borderId="0" xfId="0" applyNumberFormat="1"/>
    <xf numFmtId="168" fontId="0" fillId="0" borderId="0" xfId="1" applyNumberFormat="1" applyFont="1"/>
    <xf numFmtId="166" fontId="9" fillId="0" borderId="0" xfId="1" applyNumberFormat="1" applyFont="1"/>
    <xf numFmtId="166" fontId="9" fillId="0" borderId="0" xfId="1" applyNumberFormat="1" applyFont="1" applyBorder="1"/>
    <xf numFmtId="0" fontId="2" fillId="3" borderId="8" xfId="0" applyFont="1" applyFill="1" applyBorder="1"/>
    <xf numFmtId="3" fontId="10" fillId="4" borderId="8" xfId="0" applyNumberFormat="1" applyFont="1" applyFill="1" applyBorder="1"/>
    <xf numFmtId="165" fontId="8" fillId="4" borderId="8" xfId="1" applyNumberFormat="1" applyFont="1" applyFill="1" applyBorder="1"/>
    <xf numFmtId="0" fontId="6" fillId="4" borderId="8" xfId="0" applyFont="1" applyFill="1" applyBorder="1"/>
    <xf numFmtId="3" fontId="6" fillId="4" borderId="8" xfId="0" applyNumberFormat="1" applyFont="1" applyFill="1" applyBorder="1"/>
    <xf numFmtId="37" fontId="10" fillId="4" borderId="8" xfId="0" applyNumberFormat="1" applyFont="1" applyFill="1" applyBorder="1"/>
    <xf numFmtId="0" fontId="0" fillId="0" borderId="8" xfId="0" applyBorder="1"/>
    <xf numFmtId="166" fontId="9" fillId="0" borderId="8" xfId="1" applyNumberFormat="1" applyFont="1" applyBorder="1"/>
    <xf numFmtId="0" fontId="0" fillId="0" borderId="7" xfId="0" applyBorder="1"/>
    <xf numFmtId="37" fontId="6" fillId="0" borderId="1" xfId="0" applyNumberFormat="1" applyFont="1" applyBorder="1"/>
    <xf numFmtId="0" fontId="0" fillId="0" borderId="1" xfId="0" quotePrefix="1" applyBorder="1"/>
    <xf numFmtId="167" fontId="3" fillId="0" borderId="0" xfId="0" applyNumberFormat="1" applyFont="1"/>
    <xf numFmtId="37" fontId="7" fillId="0" borderId="0" xfId="0" applyNumberFormat="1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37" fontId="3" fillId="0" borderId="5" xfId="0" applyNumberFormat="1" applyFont="1" applyBorder="1"/>
    <xf numFmtId="3" fontId="3" fillId="0" borderId="5" xfId="0" applyNumberFormat="1" applyFont="1" applyBorder="1"/>
    <xf numFmtId="165" fontId="0" fillId="2" borderId="3" xfId="0" applyNumberFormat="1" applyFill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2" borderId="3" xfId="0" applyFill="1" applyBorder="1" applyAlignment="1">
      <alignment horizontal="right"/>
    </xf>
    <xf numFmtId="0" fontId="3" fillId="5" borderId="4" xfId="0" applyFont="1" applyFill="1" applyBorder="1"/>
    <xf numFmtId="0" fontId="0" fillId="5" borderId="5" xfId="0" applyFill="1" applyBorder="1"/>
    <xf numFmtId="10" fontId="3" fillId="5" borderId="6" xfId="0" applyNumberFormat="1" applyFont="1" applyFill="1" applyBorder="1"/>
    <xf numFmtId="169" fontId="0" fillId="0" borderId="3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70" fontId="0" fillId="0" borderId="3" xfId="0" applyNumberFormat="1" applyBorder="1" applyAlignment="1">
      <alignment horizontal="right"/>
    </xf>
    <xf numFmtId="170" fontId="0" fillId="0" borderId="9" xfId="0" applyNumberFormat="1" applyBorder="1" applyAlignment="1">
      <alignment horizontal="right"/>
    </xf>
    <xf numFmtId="3" fontId="0" fillId="0" borderId="9" xfId="0" applyNumberFormat="1" applyBorder="1" applyAlignment="1">
      <alignment horizontal="right"/>
    </xf>
    <xf numFmtId="37" fontId="0" fillId="0" borderId="0" xfId="0" applyNumberFormat="1"/>
  </cellXfs>
  <cellStyles count="3">
    <cellStyle name="Normal" xfId="0" builtinId="0"/>
    <cellStyle name="Normal 2" xfId="2" xr:uid="{A2D1003C-8034-459A-B554-420F0A7D1C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782-985A-4F6E-8405-30EA8D9C5EDB}">
  <dimension ref="A1:B1"/>
  <sheetViews>
    <sheetView workbookViewId="0"/>
  </sheetViews>
  <sheetFormatPr defaultRowHeight="14.25" x14ac:dyDescent="0.45"/>
  <sheetData>
    <row r="1" spans="1:2" x14ac:dyDescent="0.45">
      <c r="B1" t="s">
        <v>23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4BFC-A7CD-4D1E-875D-83F0626367C5}">
  <dimension ref="A2:AD63"/>
  <sheetViews>
    <sheetView showGridLines="0" tabSelected="1" topLeftCell="A12" zoomScaleNormal="100" workbookViewId="0">
      <selection activeCell="Y10" sqref="Y7:Z10"/>
    </sheetView>
  </sheetViews>
  <sheetFormatPr defaultColWidth="9.59765625" defaultRowHeight="14.25" outlineLevelRow="1" outlineLevelCol="1" x14ac:dyDescent="0.45"/>
  <cols>
    <col min="1" max="1" width="3.59765625" customWidth="1"/>
    <col min="3" max="3" width="10.19921875" bestFit="1" customWidth="1"/>
    <col min="5" max="10" width="9.59765625" customWidth="1" outlineLevel="1"/>
    <col min="11" max="18" width="9.59765625" customWidth="1"/>
    <col min="22" max="26" width="10.46484375" bestFit="1" customWidth="1"/>
    <col min="27" max="27" width="12" bestFit="1" customWidth="1"/>
    <col min="30" max="30" width="10.33203125" bestFit="1" customWidth="1"/>
  </cols>
  <sheetData>
    <row r="2" spans="1:18" s="1" customFormat="1" ht="21" x14ac:dyDescent="0.65">
      <c r="B2" s="2" t="s">
        <v>47</v>
      </c>
    </row>
    <row r="4" spans="1:18" x14ac:dyDescent="0.45">
      <c r="A4" t="s">
        <v>2</v>
      </c>
      <c r="B4" t="s">
        <v>0</v>
      </c>
      <c r="C4" s="5" t="s">
        <v>48</v>
      </c>
      <c r="E4" t="s">
        <v>30</v>
      </c>
      <c r="G4" s="60">
        <f>N63</f>
        <v>40.887090017194673</v>
      </c>
      <c r="M4" s="32"/>
      <c r="R4" s="33"/>
    </row>
    <row r="5" spans="1:18" x14ac:dyDescent="0.45">
      <c r="B5" t="s">
        <v>1</v>
      </c>
      <c r="C5" s="6">
        <v>46015</v>
      </c>
      <c r="E5" t="s">
        <v>33</v>
      </c>
      <c r="G5" s="60">
        <v>31.76</v>
      </c>
      <c r="I5" t="s">
        <v>46</v>
      </c>
      <c r="K5" s="61">
        <f>(G4/G5)-1</f>
        <v>0.28737688971015962</v>
      </c>
      <c r="M5" s="32"/>
    </row>
    <row r="7" spans="1:18" x14ac:dyDescent="0.45">
      <c r="A7" t="s">
        <v>2</v>
      </c>
      <c r="B7" s="4" t="s">
        <v>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8" x14ac:dyDescent="0.45">
      <c r="B8" s="19" t="s">
        <v>22</v>
      </c>
    </row>
    <row r="9" spans="1:18" x14ac:dyDescent="0.45">
      <c r="B9" t="s">
        <v>20</v>
      </c>
      <c r="D9" s="20">
        <f>WACC!D22</f>
        <v>8.489236090301755E-2</v>
      </c>
    </row>
    <row r="10" spans="1:18" x14ac:dyDescent="0.45">
      <c r="B10" t="s">
        <v>21</v>
      </c>
      <c r="D10" s="20">
        <v>0.03</v>
      </c>
    </row>
    <row r="11" spans="1:18" outlineLevel="1" x14ac:dyDescent="0.45">
      <c r="J11">
        <v>1</v>
      </c>
      <c r="K11">
        <f>J11+1</f>
        <v>2</v>
      </c>
      <c r="L11">
        <f t="shared" ref="L11:N11" si="0">K11+1</f>
        <v>3</v>
      </c>
      <c r="M11">
        <f t="shared" si="0"/>
        <v>4</v>
      </c>
      <c r="N11">
        <f t="shared" si="0"/>
        <v>5</v>
      </c>
    </row>
    <row r="12" spans="1:18" outlineLevel="1" x14ac:dyDescent="0.45">
      <c r="A12" t="s">
        <v>2</v>
      </c>
      <c r="B12" s="4" t="s">
        <v>4</v>
      </c>
      <c r="C12" s="3"/>
      <c r="D12" s="3"/>
      <c r="E12" s="4">
        <v>2021</v>
      </c>
      <c r="F12" s="4">
        <f>E12+1</f>
        <v>2022</v>
      </c>
      <c r="G12" s="4">
        <f>F12+1</f>
        <v>2023</v>
      </c>
      <c r="H12" s="4">
        <f>G12+1</f>
        <v>2024</v>
      </c>
      <c r="I12" s="36">
        <f>H12+1</f>
        <v>2025</v>
      </c>
      <c r="J12" s="4">
        <f>I12+1</f>
        <v>2026</v>
      </c>
      <c r="K12" s="4">
        <f>J12+1</f>
        <v>2027</v>
      </c>
      <c r="L12" s="4">
        <f>K12+1</f>
        <v>2028</v>
      </c>
      <c r="M12" s="4">
        <f>L12+1</f>
        <v>2029</v>
      </c>
      <c r="N12" s="4">
        <f>M12+1</f>
        <v>2030</v>
      </c>
    </row>
    <row r="13" spans="1:18" s="7" customFormat="1" outlineLevel="1" x14ac:dyDescent="0.45">
      <c r="B13" s="7" t="s">
        <v>7</v>
      </c>
      <c r="E13" s="14">
        <v>7146.3</v>
      </c>
      <c r="F13" s="14">
        <v>8967.4</v>
      </c>
      <c r="G13" s="14">
        <v>10119</v>
      </c>
      <c r="H13" s="14">
        <v>11147.7</v>
      </c>
      <c r="I13" s="37">
        <v>11861.3</v>
      </c>
      <c r="J13" s="14">
        <v>12600</v>
      </c>
      <c r="K13" s="14">
        <v>13610</v>
      </c>
      <c r="L13" s="14">
        <v>14690</v>
      </c>
      <c r="M13" s="14">
        <v>16110</v>
      </c>
      <c r="N13" s="14">
        <v>17310</v>
      </c>
    </row>
    <row r="14" spans="1:18" s="7" customFormat="1" outlineLevel="1" x14ac:dyDescent="0.45">
      <c r="B14" s="11" t="s">
        <v>8</v>
      </c>
      <c r="E14" s="10"/>
      <c r="F14" s="10">
        <f>F13/E13-1</f>
        <v>0.25483117137539701</v>
      </c>
      <c r="G14" s="10">
        <f t="shared" ref="G14:I14" si="1">G13/F13-1</f>
        <v>0.12842072395566162</v>
      </c>
      <c r="H14" s="10">
        <f t="shared" si="1"/>
        <v>0.10166024310702637</v>
      </c>
      <c r="I14" s="38">
        <f t="shared" si="1"/>
        <v>6.4013204517523681E-2</v>
      </c>
      <c r="J14" s="16">
        <f t="shared" ref="J14" si="2">J13/I13-1</f>
        <v>6.2278165125239315E-2</v>
      </c>
      <c r="K14" s="10">
        <f t="shared" ref="K14" si="3">K13/J13-1</f>
        <v>8.0158730158730096E-2</v>
      </c>
      <c r="L14" s="10">
        <f t="shared" ref="L14" si="4">L13/K13-1</f>
        <v>7.9353416605437266E-2</v>
      </c>
      <c r="M14" s="10">
        <f t="shared" ref="M14" si="5">M13/L13-1</f>
        <v>9.6664397549353298E-2</v>
      </c>
      <c r="N14" s="10">
        <f t="shared" ref="N14" si="6">N13/M13-1</f>
        <v>7.4487895716945918E-2</v>
      </c>
    </row>
    <row r="15" spans="1:18" s="7" customFormat="1" outlineLevel="1" x14ac:dyDescent="0.45">
      <c r="B15" s="8"/>
      <c r="I15" s="39"/>
    </row>
    <row r="16" spans="1:18" s="7" customFormat="1" outlineLevel="1" x14ac:dyDescent="0.45">
      <c r="B16" s="7" t="s">
        <v>9</v>
      </c>
      <c r="E16" s="14">
        <v>-92.5</v>
      </c>
      <c r="F16" s="14">
        <v>-75.2</v>
      </c>
      <c r="G16" s="14">
        <v>52.5</v>
      </c>
      <c r="H16" s="14">
        <v>48.2</v>
      </c>
      <c r="I16" s="37">
        <v>151.30000000000001</v>
      </c>
      <c r="J16" s="14">
        <v>256.73</v>
      </c>
      <c r="K16" s="14">
        <v>418.75</v>
      </c>
      <c r="L16" s="14">
        <v>561.54</v>
      </c>
      <c r="M16" s="14">
        <v>761.98</v>
      </c>
      <c r="N16" s="14">
        <v>1060</v>
      </c>
    </row>
    <row r="17" spans="1:14" s="7" customFormat="1" outlineLevel="1" x14ac:dyDescent="0.45">
      <c r="B17" s="11" t="s">
        <v>10</v>
      </c>
      <c r="E17" s="10">
        <f>E16/E13</f>
        <v>-1.2943761107146356E-2</v>
      </c>
      <c r="F17" s="10">
        <f t="shared" ref="F17:N17" si="7">F16/F13</f>
        <v>-8.3859312621272619E-3</v>
      </c>
      <c r="G17" s="10">
        <f t="shared" si="7"/>
        <v>5.1882597094574561E-3</v>
      </c>
      <c r="H17" s="10">
        <f t="shared" si="7"/>
        <v>4.3237618522206376E-3</v>
      </c>
      <c r="I17" s="38">
        <f t="shared" si="7"/>
        <v>1.2755768760591169E-2</v>
      </c>
      <c r="J17" s="16">
        <f t="shared" si="7"/>
        <v>2.0375396825396828E-2</v>
      </c>
      <c r="K17" s="10">
        <f t="shared" si="7"/>
        <v>3.0767817781043351E-2</v>
      </c>
      <c r="L17" s="10">
        <f t="shared" si="7"/>
        <v>3.822600408441116E-2</v>
      </c>
      <c r="M17" s="10">
        <f t="shared" si="7"/>
        <v>4.7298572315332091E-2</v>
      </c>
      <c r="N17" s="10">
        <f t="shared" si="7"/>
        <v>6.1236279607163491E-2</v>
      </c>
    </row>
    <row r="18" spans="1:14" s="7" customFormat="1" outlineLevel="1" x14ac:dyDescent="0.45">
      <c r="I18" s="39"/>
    </row>
    <row r="19" spans="1:14" s="7" customFormat="1" outlineLevel="1" x14ac:dyDescent="0.45">
      <c r="B19" s="7" t="s">
        <v>11</v>
      </c>
      <c r="E19" s="14">
        <v>0</v>
      </c>
      <c r="F19" s="14">
        <v>0</v>
      </c>
      <c r="G19" s="14">
        <v>2.6</v>
      </c>
      <c r="H19" s="14">
        <v>8.6999999999999993</v>
      </c>
      <c r="I19" s="37">
        <v>-241</v>
      </c>
      <c r="J19" s="14">
        <f xml:space="preserve"> J16*J20</f>
        <v>53.9133</v>
      </c>
      <c r="K19" s="14">
        <f t="shared" ref="K19:N19" si="8" xml:space="preserve"> K16*K20</f>
        <v>87.9375</v>
      </c>
      <c r="L19" s="14">
        <f t="shared" si="8"/>
        <v>117.92339999999999</v>
      </c>
      <c r="M19" s="14">
        <f t="shared" si="8"/>
        <v>160.01579999999998</v>
      </c>
      <c r="N19" s="14">
        <f t="shared" si="8"/>
        <v>222.6</v>
      </c>
    </row>
    <row r="20" spans="1:14" s="7" customFormat="1" outlineLevel="1" x14ac:dyDescent="0.45">
      <c r="B20" s="11" t="s">
        <v>12</v>
      </c>
      <c r="E20" s="10">
        <f>E19/E16</f>
        <v>0</v>
      </c>
      <c r="F20" s="10">
        <f t="shared" ref="F20:N20" si="9">F19/F16</f>
        <v>0</v>
      </c>
      <c r="G20" s="10">
        <f t="shared" si="9"/>
        <v>4.9523809523809526E-2</v>
      </c>
      <c r="H20" s="10">
        <f t="shared" si="9"/>
        <v>0.18049792531120329</v>
      </c>
      <c r="I20" s="38">
        <f t="shared" si="9"/>
        <v>-1.5928618638466621</v>
      </c>
      <c r="J20" s="16">
        <v>0.21</v>
      </c>
      <c r="K20" s="16">
        <v>0.21</v>
      </c>
      <c r="L20" s="16">
        <v>0.21</v>
      </c>
      <c r="M20" s="16">
        <v>0.21</v>
      </c>
      <c r="N20" s="16">
        <v>0.21</v>
      </c>
    </row>
    <row r="21" spans="1:14" s="7" customFormat="1" outlineLevel="1" x14ac:dyDescent="0.45">
      <c r="I21" s="39"/>
    </row>
    <row r="22" spans="1:14" outlineLevel="1" x14ac:dyDescent="0.45">
      <c r="A22" t="s">
        <v>2</v>
      </c>
      <c r="B22" s="4" t="s">
        <v>5</v>
      </c>
      <c r="C22" s="3"/>
      <c r="D22" s="3"/>
      <c r="E22" s="4">
        <v>2021</v>
      </c>
      <c r="F22" s="4">
        <f t="shared" ref="F22:N22" si="10">E22+1</f>
        <v>2022</v>
      </c>
      <c r="G22" s="4">
        <f t="shared" si="10"/>
        <v>2023</v>
      </c>
      <c r="H22" s="4">
        <f t="shared" si="10"/>
        <v>2024</v>
      </c>
      <c r="I22" s="36">
        <f t="shared" si="10"/>
        <v>2025</v>
      </c>
      <c r="J22" s="4">
        <f t="shared" si="10"/>
        <v>2026</v>
      </c>
      <c r="K22" s="4">
        <f t="shared" si="10"/>
        <v>2027</v>
      </c>
      <c r="L22" s="4">
        <f t="shared" si="10"/>
        <v>2028</v>
      </c>
      <c r="M22" s="4">
        <f t="shared" si="10"/>
        <v>2029</v>
      </c>
      <c r="N22" s="4">
        <f t="shared" si="10"/>
        <v>2030</v>
      </c>
    </row>
    <row r="23" spans="1:14" s="7" customFormat="1" outlineLevel="1" x14ac:dyDescent="0.45">
      <c r="B23" s="7" t="s">
        <v>13</v>
      </c>
      <c r="E23" s="14">
        <v>28.3</v>
      </c>
      <c r="F23" s="14">
        <v>41.1</v>
      </c>
      <c r="G23" s="14">
        <v>61</v>
      </c>
      <c r="H23" s="14">
        <v>79.5</v>
      </c>
      <c r="I23" s="37">
        <v>77</v>
      </c>
      <c r="J23" s="14">
        <f>J13*J24</f>
        <v>75.600000000000009</v>
      </c>
      <c r="K23" s="14">
        <f t="shared" ref="K23:N23" si="11">K13*K24</f>
        <v>81.66</v>
      </c>
      <c r="L23" s="14">
        <f t="shared" si="11"/>
        <v>88.14</v>
      </c>
      <c r="M23" s="14">
        <f t="shared" si="11"/>
        <v>96.66</v>
      </c>
      <c r="N23" s="14">
        <f t="shared" si="11"/>
        <v>103.86</v>
      </c>
    </row>
    <row r="24" spans="1:14" s="7" customFormat="1" outlineLevel="1" x14ac:dyDescent="0.45">
      <c r="B24" s="11" t="s">
        <v>10</v>
      </c>
      <c r="E24" s="10">
        <f>E23/E13</f>
        <v>3.9600912360242364E-3</v>
      </c>
      <c r="F24" s="10">
        <f t="shared" ref="F24:I24" si="12">F23/F13</f>
        <v>4.583268282891362E-3</v>
      </c>
      <c r="G24" s="10">
        <f t="shared" si="12"/>
        <v>6.0282636624172346E-3</v>
      </c>
      <c r="H24" s="10">
        <f t="shared" si="12"/>
        <v>7.1315159180817562E-3</v>
      </c>
      <c r="I24" s="38">
        <f t="shared" si="12"/>
        <v>6.4916998979875733E-3</v>
      </c>
      <c r="J24" s="16">
        <v>6.0000000000000001E-3</v>
      </c>
      <c r="K24" s="16">
        <v>6.0000000000000001E-3</v>
      </c>
      <c r="L24" s="16">
        <v>6.0000000000000001E-3</v>
      </c>
      <c r="M24" s="16">
        <v>6.0000000000000001E-3</v>
      </c>
      <c r="N24" s="16">
        <v>6.0000000000000001E-3</v>
      </c>
    </row>
    <row r="25" spans="1:14" s="7" customFormat="1" outlineLevel="1" x14ac:dyDescent="0.45">
      <c r="E25" s="9"/>
      <c r="F25" s="9"/>
      <c r="G25" s="9"/>
      <c r="H25" s="9"/>
      <c r="I25" s="40"/>
      <c r="J25" s="9"/>
      <c r="K25" s="9"/>
      <c r="L25" s="9"/>
      <c r="M25" s="9"/>
      <c r="N25" s="9"/>
    </row>
    <row r="26" spans="1:14" s="7" customFormat="1" outlineLevel="1" x14ac:dyDescent="0.45">
      <c r="B26" s="7" t="s">
        <v>14</v>
      </c>
      <c r="E26" s="14">
        <v>130.69999999999999</v>
      </c>
      <c r="F26" s="14">
        <v>193.3</v>
      </c>
      <c r="G26" s="14">
        <v>230.3</v>
      </c>
      <c r="H26" s="14">
        <v>143.30000000000001</v>
      </c>
      <c r="I26" s="37">
        <v>143.80000000000001</v>
      </c>
      <c r="J26" s="27">
        <f>J27*J13</f>
        <v>189</v>
      </c>
      <c r="K26" s="27">
        <f t="shared" ref="K26:N26" si="13">K27*K13</f>
        <v>204.15</v>
      </c>
      <c r="L26" s="27">
        <f t="shared" si="13"/>
        <v>205.66</v>
      </c>
      <c r="M26" s="27">
        <f t="shared" si="13"/>
        <v>209.42999999999998</v>
      </c>
      <c r="N26" s="27">
        <f t="shared" si="13"/>
        <v>207.72</v>
      </c>
    </row>
    <row r="27" spans="1:14" s="7" customFormat="1" outlineLevel="1" x14ac:dyDescent="0.45">
      <c r="B27" s="11" t="s">
        <v>10</v>
      </c>
      <c r="E27" s="10">
        <f>E26/E13</f>
        <v>1.8289184613016523E-2</v>
      </c>
      <c r="F27" s="10">
        <f t="shared" ref="F27:I27" si="14">F26/F13</f>
        <v>2.1555857885228718E-2</v>
      </c>
      <c r="G27" s="10">
        <f t="shared" si="14"/>
        <v>2.2759165925486709E-2</v>
      </c>
      <c r="H27" s="10">
        <f t="shared" si="14"/>
        <v>1.2854669573095796E-2</v>
      </c>
      <c r="I27" s="38">
        <f t="shared" si="14"/>
        <v>1.2123460328969002E-2</v>
      </c>
      <c r="J27" s="16">
        <v>1.4999999999999999E-2</v>
      </c>
      <c r="K27" s="16">
        <v>1.4999999999999999E-2</v>
      </c>
      <c r="L27" s="16">
        <v>1.4E-2</v>
      </c>
      <c r="M27" s="16">
        <v>1.2999999999999999E-2</v>
      </c>
      <c r="N27" s="16">
        <v>1.2E-2</v>
      </c>
    </row>
    <row r="28" spans="1:14" s="7" customFormat="1" outlineLevel="1" x14ac:dyDescent="0.45">
      <c r="E28" s="9"/>
      <c r="F28" s="9"/>
      <c r="G28" s="9"/>
      <c r="H28" s="9"/>
      <c r="I28" s="40"/>
      <c r="J28" s="9"/>
      <c r="K28" s="9"/>
      <c r="L28" s="9"/>
      <c r="M28" s="9"/>
      <c r="N28" s="9"/>
    </row>
    <row r="29" spans="1:14" s="7" customFormat="1" outlineLevel="1" x14ac:dyDescent="0.45">
      <c r="B29" s="7" t="s">
        <v>15</v>
      </c>
      <c r="E29" s="18">
        <v>-30.9</v>
      </c>
      <c r="F29" s="18">
        <v>-201.9</v>
      </c>
      <c r="G29" s="18">
        <v>53.7</v>
      </c>
      <c r="H29" s="18">
        <v>157.69999999999999</v>
      </c>
      <c r="I29" s="41">
        <v>4</v>
      </c>
      <c r="J29" s="27">
        <f>J13*J30</f>
        <v>37.800000000000004</v>
      </c>
      <c r="K29" s="27">
        <f t="shared" ref="K29:N29" si="15">K13*K30</f>
        <v>40.83</v>
      </c>
      <c r="L29" s="27">
        <f t="shared" si="15"/>
        <v>44.07</v>
      </c>
      <c r="M29" s="27">
        <f t="shared" si="15"/>
        <v>48.33</v>
      </c>
      <c r="N29" s="27">
        <f t="shared" si="15"/>
        <v>51.93</v>
      </c>
    </row>
    <row r="30" spans="1:14" s="7" customFormat="1" outlineLevel="1" x14ac:dyDescent="0.45">
      <c r="B30" s="11" t="s">
        <v>10</v>
      </c>
      <c r="E30" s="34">
        <f>E29/E13</f>
        <v>-4.3239158725494305E-3</v>
      </c>
      <c r="F30" s="34">
        <f t="shared" ref="F30:I30" si="16">F29/F13</f>
        <v>-2.2514887258291146E-2</v>
      </c>
      <c r="G30" s="34">
        <f t="shared" si="16"/>
        <v>5.3068485028164841E-3</v>
      </c>
      <c r="H30" s="34">
        <f t="shared" si="16"/>
        <v>1.4146415852597394E-2</v>
      </c>
      <c r="I30" s="43">
        <f t="shared" si="16"/>
        <v>3.3723116353182199E-4</v>
      </c>
      <c r="J30" s="16">
        <v>3.0000000000000001E-3</v>
      </c>
      <c r="K30" s="16">
        <v>3.0000000000000001E-3</v>
      </c>
      <c r="L30" s="16">
        <v>3.0000000000000001E-3</v>
      </c>
      <c r="M30" s="16">
        <v>3.0000000000000001E-3</v>
      </c>
      <c r="N30" s="16">
        <v>3.0000000000000001E-3</v>
      </c>
    </row>
    <row r="31" spans="1:14" x14ac:dyDescent="0.45">
      <c r="I31" s="42"/>
      <c r="J31">
        <v>1</v>
      </c>
      <c r="K31">
        <f>J31+1</f>
        <v>2</v>
      </c>
      <c r="L31">
        <f t="shared" ref="L31:N31" si="17">K31+1</f>
        <v>3</v>
      </c>
      <c r="M31">
        <f t="shared" si="17"/>
        <v>4</v>
      </c>
      <c r="N31">
        <f t="shared" si="17"/>
        <v>5</v>
      </c>
    </row>
    <row r="32" spans="1:14" x14ac:dyDescent="0.45">
      <c r="A32" t="s">
        <v>2</v>
      </c>
      <c r="B32" s="4" t="s">
        <v>6</v>
      </c>
      <c r="C32" s="3"/>
      <c r="D32" s="3"/>
      <c r="E32" s="4">
        <f t="shared" ref="E32:N32" si="18">E22</f>
        <v>2021</v>
      </c>
      <c r="F32" s="4">
        <f t="shared" si="18"/>
        <v>2022</v>
      </c>
      <c r="G32" s="4">
        <f t="shared" si="18"/>
        <v>2023</v>
      </c>
      <c r="H32" s="4">
        <f t="shared" si="18"/>
        <v>2024</v>
      </c>
      <c r="I32" s="36">
        <f t="shared" si="18"/>
        <v>2025</v>
      </c>
      <c r="J32" s="4">
        <f t="shared" si="18"/>
        <v>2026</v>
      </c>
      <c r="K32" s="4">
        <f t="shared" si="18"/>
        <v>2027</v>
      </c>
      <c r="L32" s="4">
        <f t="shared" si="18"/>
        <v>2028</v>
      </c>
      <c r="M32" s="4">
        <f t="shared" si="18"/>
        <v>2029</v>
      </c>
      <c r="N32" s="4">
        <f t="shared" si="18"/>
        <v>2030</v>
      </c>
    </row>
    <row r="33" spans="2:30" x14ac:dyDescent="0.45">
      <c r="B33" t="s">
        <v>7</v>
      </c>
      <c r="E33" s="14">
        <v>7146.3</v>
      </c>
      <c r="F33" s="14">
        <v>8967.4</v>
      </c>
      <c r="G33" s="14">
        <v>10119</v>
      </c>
      <c r="H33" s="14">
        <v>11147.7</v>
      </c>
      <c r="I33" s="37">
        <v>11861.3</v>
      </c>
      <c r="J33" s="14">
        <v>12600</v>
      </c>
      <c r="K33" s="14">
        <v>13610</v>
      </c>
      <c r="L33" s="14">
        <v>14690</v>
      </c>
      <c r="M33" s="14">
        <v>16110</v>
      </c>
      <c r="N33" s="14">
        <v>17310</v>
      </c>
    </row>
    <row r="34" spans="2:30" x14ac:dyDescent="0.45">
      <c r="B34" s="12" t="s">
        <v>8</v>
      </c>
      <c r="E34" s="10"/>
      <c r="F34" s="10">
        <f>F33/E33-1</f>
        <v>0.25483117137539701</v>
      </c>
      <c r="G34" s="10">
        <f t="shared" ref="G34" si="19">G33/F33-1</f>
        <v>0.12842072395566162</v>
      </c>
      <c r="H34" s="10">
        <f t="shared" ref="H34" si="20">H33/G33-1</f>
        <v>0.10166024310702637</v>
      </c>
      <c r="I34" s="38">
        <f t="shared" ref="I34" si="21">I33/H33-1</f>
        <v>6.4013204517523681E-2</v>
      </c>
      <c r="J34" s="16">
        <f t="shared" ref="J34" si="22">J33/I33-1</f>
        <v>6.2278165125239315E-2</v>
      </c>
      <c r="K34" s="10">
        <f t="shared" ref="K34" si="23">K33/J33-1</f>
        <v>8.0158730158730096E-2</v>
      </c>
      <c r="L34" s="10">
        <f t="shared" ref="L34" si="24">L33/K33-1</f>
        <v>7.9353416605437266E-2</v>
      </c>
      <c r="M34" s="10">
        <f t="shared" ref="M34" si="25">M33/L33-1</f>
        <v>9.6664397549353298E-2</v>
      </c>
      <c r="N34" s="10">
        <f t="shared" ref="N34" si="26">N33/M33-1</f>
        <v>7.4487895716945918E-2</v>
      </c>
      <c r="U34" s="7"/>
      <c r="Y34" s="25"/>
      <c r="Z34" s="25"/>
      <c r="AA34" s="25"/>
    </row>
    <row r="35" spans="2:30" x14ac:dyDescent="0.45">
      <c r="I35" s="42"/>
      <c r="Y35" s="25"/>
      <c r="Z35" s="25"/>
      <c r="AA35" s="25"/>
    </row>
    <row r="36" spans="2:30" x14ac:dyDescent="0.45">
      <c r="B36" t="s">
        <v>9</v>
      </c>
      <c r="E36" s="14">
        <v>-92.5</v>
      </c>
      <c r="F36" s="14">
        <v>-75.2</v>
      </c>
      <c r="G36" s="14">
        <v>52.5</v>
      </c>
      <c r="H36" s="14">
        <v>48.2</v>
      </c>
      <c r="I36" s="37">
        <v>151.30000000000001</v>
      </c>
      <c r="J36" s="14">
        <v>256.73</v>
      </c>
      <c r="K36" s="14">
        <v>418.75</v>
      </c>
      <c r="L36" s="14">
        <v>561.54</v>
      </c>
      <c r="M36" s="14">
        <v>761.98</v>
      </c>
      <c r="N36" s="14">
        <v>1060</v>
      </c>
      <c r="V36" s="13"/>
      <c r="W36" s="13"/>
      <c r="X36" s="13"/>
      <c r="Y36" s="13"/>
      <c r="Z36" s="13"/>
      <c r="AA36" s="13"/>
    </row>
    <row r="37" spans="2:30" x14ac:dyDescent="0.45">
      <c r="B37" s="12" t="s">
        <v>16</v>
      </c>
      <c r="E37" s="21">
        <f>E36/E33</f>
        <v>-1.2943761107146356E-2</v>
      </c>
      <c r="F37" s="21">
        <f t="shared" ref="F37:N37" si="27">F36/F33</f>
        <v>-8.3859312621272619E-3</v>
      </c>
      <c r="G37" s="21">
        <f t="shared" si="27"/>
        <v>5.1882597094574561E-3</v>
      </c>
      <c r="H37" s="21">
        <f t="shared" si="27"/>
        <v>4.3237618522206376E-3</v>
      </c>
      <c r="I37" s="21">
        <f t="shared" si="27"/>
        <v>1.2755768760591169E-2</v>
      </c>
      <c r="J37" s="21">
        <f t="shared" si="27"/>
        <v>2.0375396825396828E-2</v>
      </c>
      <c r="K37" s="21">
        <f t="shared" si="27"/>
        <v>3.0767817781043351E-2</v>
      </c>
      <c r="L37" s="21">
        <f t="shared" si="27"/>
        <v>3.822600408441116E-2</v>
      </c>
      <c r="M37" s="21">
        <f t="shared" si="27"/>
        <v>4.7298572315332091E-2</v>
      </c>
      <c r="N37" s="21">
        <f t="shared" si="27"/>
        <v>6.1236279607163491E-2</v>
      </c>
      <c r="V37" s="26"/>
      <c r="W37" s="26"/>
      <c r="X37" s="26"/>
      <c r="Y37" s="26"/>
      <c r="Z37" s="26"/>
      <c r="AA37" s="26"/>
    </row>
    <row r="38" spans="2:30" x14ac:dyDescent="0.45">
      <c r="I38" s="42"/>
      <c r="K38" s="24"/>
      <c r="L38" s="24"/>
      <c r="U38" s="7"/>
      <c r="Y38" s="9"/>
      <c r="Z38" s="9"/>
      <c r="AA38" s="9"/>
      <c r="AB38" s="7"/>
      <c r="AC38" s="7"/>
      <c r="AD38" s="7"/>
    </row>
    <row r="39" spans="2:30" x14ac:dyDescent="0.45">
      <c r="B39" t="s">
        <v>11</v>
      </c>
      <c r="E39" s="14">
        <v>0</v>
      </c>
      <c r="F39" s="14">
        <v>0</v>
      </c>
      <c r="G39" s="14">
        <v>2.6</v>
      </c>
      <c r="H39" s="14">
        <v>8.6999999999999993</v>
      </c>
      <c r="I39" s="37">
        <v>-241</v>
      </c>
      <c r="J39" s="14">
        <f xml:space="preserve"> J36*J40</f>
        <v>53.9133</v>
      </c>
      <c r="K39" s="14">
        <f t="shared" ref="K39" si="28" xml:space="preserve"> K36*K40</f>
        <v>87.9375</v>
      </c>
      <c r="L39" s="14">
        <f t="shared" ref="L39" si="29" xml:space="preserve"> L36*L40</f>
        <v>117.92339999999999</v>
      </c>
      <c r="M39" s="14">
        <f t="shared" ref="M39" si="30" xml:space="preserve"> M36*M40</f>
        <v>160.01579999999998</v>
      </c>
      <c r="N39" s="14">
        <f t="shared" ref="N39" si="31" xml:space="preserve"> N36*N40</f>
        <v>222.6</v>
      </c>
      <c r="U39" s="7"/>
      <c r="Y39" s="9"/>
      <c r="Z39" s="9"/>
      <c r="AA39" s="9"/>
      <c r="AB39" s="7"/>
      <c r="AC39" s="7"/>
      <c r="AD39" s="7"/>
    </row>
    <row r="40" spans="2:30" x14ac:dyDescent="0.45">
      <c r="B40" s="12" t="s">
        <v>12</v>
      </c>
      <c r="E40" s="10">
        <f>E39/E36</f>
        <v>0</v>
      </c>
      <c r="F40" s="10">
        <f t="shared" ref="F40:N40" si="32">F39/F36</f>
        <v>0</v>
      </c>
      <c r="G40" s="10">
        <f t="shared" si="32"/>
        <v>4.9523809523809526E-2</v>
      </c>
      <c r="H40" s="10">
        <f t="shared" si="32"/>
        <v>0.18049792531120329</v>
      </c>
      <c r="I40" s="38">
        <f t="shared" si="32"/>
        <v>-1.5928618638466621</v>
      </c>
      <c r="J40" s="16">
        <v>0.21</v>
      </c>
      <c r="K40" s="16">
        <v>0.21</v>
      </c>
      <c r="L40" s="16">
        <v>0.21</v>
      </c>
      <c r="M40" s="16">
        <v>0.21</v>
      </c>
      <c r="N40" s="16">
        <v>0.21</v>
      </c>
      <c r="U40" s="7"/>
      <c r="Y40" s="22"/>
      <c r="Z40" s="22"/>
      <c r="AA40" s="22"/>
      <c r="AB40" s="7"/>
      <c r="AC40" s="7"/>
      <c r="AD40" s="7"/>
    </row>
    <row r="41" spans="2:30" x14ac:dyDescent="0.45">
      <c r="I41" s="42"/>
      <c r="U41" s="7"/>
      <c r="Y41" s="23"/>
      <c r="Z41" s="23"/>
      <c r="AA41" s="23"/>
      <c r="AB41" s="23"/>
      <c r="AC41" s="23"/>
      <c r="AD41" s="23"/>
    </row>
    <row r="42" spans="2:30" x14ac:dyDescent="0.45">
      <c r="B42" s="49" t="s">
        <v>17</v>
      </c>
      <c r="C42" s="50"/>
      <c r="D42" s="50"/>
      <c r="E42" s="50"/>
      <c r="F42" s="50"/>
      <c r="G42" s="50"/>
      <c r="H42" s="50"/>
      <c r="I42" s="51"/>
      <c r="J42" s="53">
        <f>J36-J39</f>
        <v>202.81670000000003</v>
      </c>
      <c r="K42" s="53">
        <f t="shared" ref="K42:N42" si="33">K36-K39</f>
        <v>330.8125</v>
      </c>
      <c r="L42" s="53">
        <f t="shared" si="33"/>
        <v>443.61659999999995</v>
      </c>
      <c r="M42" s="53">
        <f t="shared" si="33"/>
        <v>601.96420000000001</v>
      </c>
      <c r="N42" s="53">
        <f t="shared" si="33"/>
        <v>837.4</v>
      </c>
      <c r="U42" s="7"/>
      <c r="Y42" s="22"/>
      <c r="Z42" s="22"/>
      <c r="AA42" s="22"/>
      <c r="AB42" s="22"/>
      <c r="AC42" s="22"/>
      <c r="AD42" s="22"/>
    </row>
    <row r="43" spans="2:30" x14ac:dyDescent="0.45">
      <c r="I43" s="42"/>
      <c r="K43" s="13"/>
      <c r="U43" s="7"/>
      <c r="Y43" s="7"/>
      <c r="Z43" s="7"/>
      <c r="AA43" s="7"/>
      <c r="AB43" s="7"/>
      <c r="AC43" s="7"/>
      <c r="AD43" s="7"/>
    </row>
    <row r="44" spans="2:30" x14ac:dyDescent="0.45">
      <c r="B44" t="s">
        <v>13</v>
      </c>
      <c r="E44" s="15">
        <f>E23</f>
        <v>28.3</v>
      </c>
      <c r="F44" s="15">
        <f t="shared" ref="F44:N44" si="34">F23</f>
        <v>41.1</v>
      </c>
      <c r="G44" s="15">
        <f t="shared" si="34"/>
        <v>61</v>
      </c>
      <c r="H44" s="15">
        <f t="shared" si="34"/>
        <v>79.5</v>
      </c>
      <c r="I44" s="15">
        <f t="shared" si="34"/>
        <v>77</v>
      </c>
      <c r="J44" s="15">
        <f>J23</f>
        <v>75.600000000000009</v>
      </c>
      <c r="K44" s="15">
        <f t="shared" si="34"/>
        <v>81.66</v>
      </c>
      <c r="L44" s="15">
        <f t="shared" si="34"/>
        <v>88.14</v>
      </c>
      <c r="M44" s="15">
        <f t="shared" si="34"/>
        <v>96.66</v>
      </c>
      <c r="N44" s="15">
        <f t="shared" si="34"/>
        <v>103.86</v>
      </c>
      <c r="U44" s="7"/>
    </row>
    <row r="45" spans="2:30" x14ac:dyDescent="0.45">
      <c r="B45" s="12" t="s">
        <v>10</v>
      </c>
      <c r="E45" s="21">
        <f>E44/E33</f>
        <v>3.9600912360242364E-3</v>
      </c>
      <c r="F45" s="21">
        <f t="shared" ref="F45:N45" si="35">F44/F33</f>
        <v>4.583268282891362E-3</v>
      </c>
      <c r="G45" s="21">
        <f t="shared" si="35"/>
        <v>6.0282636624172346E-3</v>
      </c>
      <c r="H45" s="21">
        <f t="shared" si="35"/>
        <v>7.1315159180817562E-3</v>
      </c>
      <c r="I45" s="21">
        <f t="shared" si="35"/>
        <v>6.4916998979875733E-3</v>
      </c>
      <c r="J45" s="21">
        <f t="shared" si="35"/>
        <v>6.000000000000001E-3</v>
      </c>
      <c r="K45" s="21">
        <f t="shared" si="35"/>
        <v>6.0000000000000001E-3</v>
      </c>
      <c r="L45" s="21">
        <f t="shared" si="35"/>
        <v>6.0000000000000001E-3</v>
      </c>
      <c r="M45" s="21">
        <f t="shared" si="35"/>
        <v>6.0000000000000001E-3</v>
      </c>
      <c r="N45" s="21">
        <f t="shared" si="35"/>
        <v>6.0000000000000001E-3</v>
      </c>
      <c r="U45" s="7"/>
      <c r="Y45" s="22"/>
      <c r="Z45" s="22"/>
      <c r="AA45" s="22"/>
    </row>
    <row r="46" spans="2:30" x14ac:dyDescent="0.45">
      <c r="I46" s="42"/>
    </row>
    <row r="47" spans="2:30" x14ac:dyDescent="0.45">
      <c r="B47" t="s">
        <v>14</v>
      </c>
      <c r="E47" s="15">
        <f>E26</f>
        <v>130.69999999999999</v>
      </c>
      <c r="F47" s="15">
        <f t="shared" ref="F47:N47" si="36">F26</f>
        <v>193.3</v>
      </c>
      <c r="G47" s="15">
        <f t="shared" si="36"/>
        <v>230.3</v>
      </c>
      <c r="H47" s="15">
        <f t="shared" si="36"/>
        <v>143.30000000000001</v>
      </c>
      <c r="I47" s="15">
        <f t="shared" si="36"/>
        <v>143.80000000000001</v>
      </c>
      <c r="J47" s="15">
        <f t="shared" si="36"/>
        <v>189</v>
      </c>
      <c r="K47" s="15">
        <f t="shared" si="36"/>
        <v>204.15</v>
      </c>
      <c r="L47" s="15">
        <f t="shared" si="36"/>
        <v>205.66</v>
      </c>
      <c r="M47" s="15">
        <f t="shared" si="36"/>
        <v>209.42999999999998</v>
      </c>
      <c r="N47" s="15">
        <f t="shared" si="36"/>
        <v>207.72</v>
      </c>
      <c r="U47" s="7"/>
    </row>
    <row r="48" spans="2:30" x14ac:dyDescent="0.45">
      <c r="B48" s="12" t="s">
        <v>10</v>
      </c>
      <c r="E48" s="21">
        <f>E47/E33</f>
        <v>1.8289184613016523E-2</v>
      </c>
      <c r="F48" s="21">
        <f t="shared" ref="F48:N48" si="37">F47/F33</f>
        <v>2.1555857885228718E-2</v>
      </c>
      <c r="G48" s="21">
        <f t="shared" si="37"/>
        <v>2.2759165925486709E-2</v>
      </c>
      <c r="H48" s="21">
        <f t="shared" si="37"/>
        <v>1.2854669573095796E-2</v>
      </c>
      <c r="I48" s="21">
        <f t="shared" si="37"/>
        <v>1.2123460328969002E-2</v>
      </c>
      <c r="J48" s="21">
        <f t="shared" si="37"/>
        <v>1.4999999999999999E-2</v>
      </c>
      <c r="K48" s="21">
        <f t="shared" si="37"/>
        <v>1.5000000000000001E-2</v>
      </c>
      <c r="L48" s="21">
        <f t="shared" si="37"/>
        <v>1.4E-2</v>
      </c>
      <c r="M48" s="21">
        <f t="shared" si="37"/>
        <v>1.2999999999999999E-2</v>
      </c>
      <c r="N48" s="21">
        <f t="shared" si="37"/>
        <v>1.2E-2</v>
      </c>
      <c r="U48" s="7"/>
      <c r="Y48" s="24"/>
      <c r="Z48" s="24"/>
      <c r="AA48" s="24"/>
      <c r="AB48" s="24"/>
      <c r="AC48" s="24"/>
      <c r="AD48" s="24"/>
    </row>
    <row r="49" spans="1:27" x14ac:dyDescent="0.45">
      <c r="I49" s="42"/>
    </row>
    <row r="50" spans="1:27" x14ac:dyDescent="0.45">
      <c r="B50" t="s">
        <v>15</v>
      </c>
      <c r="E50" s="28">
        <f>E29</f>
        <v>-30.9</v>
      </c>
      <c r="F50" s="28">
        <f t="shared" ref="F50:N50" si="38">F29</f>
        <v>-201.9</v>
      </c>
      <c r="G50" s="28">
        <f t="shared" si="38"/>
        <v>53.7</v>
      </c>
      <c r="H50" s="28">
        <f t="shared" si="38"/>
        <v>157.69999999999999</v>
      </c>
      <c r="I50" s="28">
        <f t="shared" si="38"/>
        <v>4</v>
      </c>
      <c r="J50" s="28">
        <f t="shared" si="38"/>
        <v>37.800000000000004</v>
      </c>
      <c r="K50" s="28">
        <f t="shared" si="38"/>
        <v>40.83</v>
      </c>
      <c r="L50" s="28">
        <f t="shared" si="38"/>
        <v>44.07</v>
      </c>
      <c r="M50" s="28">
        <f t="shared" si="38"/>
        <v>48.33</v>
      </c>
      <c r="N50" s="28">
        <f t="shared" si="38"/>
        <v>51.93</v>
      </c>
      <c r="U50" s="7"/>
      <c r="Y50" s="24"/>
      <c r="Z50" s="24"/>
      <c r="AA50" s="24"/>
    </row>
    <row r="51" spans="1:27" x14ac:dyDescent="0.45">
      <c r="B51" s="12" t="s">
        <v>10</v>
      </c>
      <c r="E51" s="35">
        <f>E50/E33</f>
        <v>-4.3239158725494305E-3</v>
      </c>
      <c r="F51" s="35">
        <f t="shared" ref="F51:N51" si="39">F50/F33</f>
        <v>-2.2514887258291146E-2</v>
      </c>
      <c r="G51" s="35">
        <f t="shared" si="39"/>
        <v>5.3068485028164841E-3</v>
      </c>
      <c r="H51" s="35">
        <f t="shared" si="39"/>
        <v>1.4146415852597394E-2</v>
      </c>
      <c r="I51" s="35">
        <f t="shared" si="39"/>
        <v>3.3723116353182199E-4</v>
      </c>
      <c r="J51" s="35">
        <f t="shared" si="39"/>
        <v>3.0000000000000005E-3</v>
      </c>
      <c r="K51" s="35">
        <f t="shared" si="39"/>
        <v>3.0000000000000001E-3</v>
      </c>
      <c r="L51" s="35">
        <f t="shared" si="39"/>
        <v>3.0000000000000001E-3</v>
      </c>
      <c r="M51" s="35">
        <f t="shared" si="39"/>
        <v>3.0000000000000001E-3</v>
      </c>
      <c r="N51" s="35">
        <f t="shared" si="39"/>
        <v>3.0000000000000001E-3</v>
      </c>
    </row>
    <row r="52" spans="1:27" x14ac:dyDescent="0.45">
      <c r="I52" s="44"/>
    </row>
    <row r="53" spans="1:27" x14ac:dyDescent="0.45">
      <c r="B53" s="49" t="s">
        <v>18</v>
      </c>
      <c r="C53" s="50"/>
      <c r="D53" s="50"/>
      <c r="E53" s="50"/>
      <c r="F53" s="50"/>
      <c r="G53" s="50"/>
      <c r="H53" s="50"/>
      <c r="I53" s="51"/>
      <c r="J53" s="52">
        <f>J42+J44-J47-J50</f>
        <v>51.616700000000044</v>
      </c>
      <c r="K53" s="52">
        <f t="shared" ref="K53:N53" si="40">K42+K44-K47-K50</f>
        <v>167.49249999999995</v>
      </c>
      <c r="L53" s="52">
        <f t="shared" si="40"/>
        <v>282.02659999999997</v>
      </c>
      <c r="M53" s="52">
        <f t="shared" si="40"/>
        <v>440.86420000000004</v>
      </c>
      <c r="N53" s="52">
        <f t="shared" si="40"/>
        <v>681.61</v>
      </c>
      <c r="P53" s="65"/>
    </row>
    <row r="54" spans="1:27" x14ac:dyDescent="0.45">
      <c r="B54" s="49" t="s">
        <v>19</v>
      </c>
      <c r="C54" s="50"/>
      <c r="D54" s="50"/>
      <c r="E54" s="50"/>
      <c r="F54" s="50"/>
      <c r="G54" s="50"/>
      <c r="H54" s="50"/>
      <c r="I54" s="51"/>
      <c r="J54" s="52">
        <f>J53/(1+wacc)^J31</f>
        <v>47.57771541227973</v>
      </c>
      <c r="K54" s="52">
        <f>K53/(1+wacc)^K31</f>
        <v>142.3056235206885</v>
      </c>
      <c r="L54" s="52">
        <f>L53/(1+wacc)^L31</f>
        <v>220.86663683701951</v>
      </c>
      <c r="M54" s="52">
        <f>M53/(1+wacc)^M31</f>
        <v>318.24253774834034</v>
      </c>
      <c r="N54" s="52">
        <f>N53/(1+wacc)^N31</f>
        <v>453.5265303278822</v>
      </c>
    </row>
    <row r="55" spans="1:27" x14ac:dyDescent="0.45">
      <c r="J55" s="30"/>
    </row>
    <row r="56" spans="1:27" x14ac:dyDescent="0.45">
      <c r="A56" t="s">
        <v>2</v>
      </c>
      <c r="B56" t="s">
        <v>31</v>
      </c>
      <c r="J56" s="30"/>
      <c r="N56" s="29">
        <f>(N53*(1+tgr))/(wacc-tgr)</f>
        <v>12789.726811721199</v>
      </c>
    </row>
    <row r="57" spans="1:27" x14ac:dyDescent="0.45">
      <c r="B57" s="1" t="s">
        <v>32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45">
        <f>N56/(1+wacc)^N31</f>
        <v>8509.9696670550638</v>
      </c>
    </row>
    <row r="58" spans="1:27" x14ac:dyDescent="0.45">
      <c r="B58" s="19" t="s">
        <v>24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48">
        <f>SUM(J54:N54,N57)</f>
        <v>9692.4887109012743</v>
      </c>
    </row>
    <row r="59" spans="1:27" x14ac:dyDescent="0.45">
      <c r="B59" s="31" t="s">
        <v>25</v>
      </c>
      <c r="N59" s="62">
        <v>595.79999999999995</v>
      </c>
    </row>
    <row r="60" spans="1:27" x14ac:dyDescent="0.45">
      <c r="B60" s="46" t="s">
        <v>26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63">
        <v>535.9</v>
      </c>
    </row>
    <row r="61" spans="1:27" x14ac:dyDescent="0.45">
      <c r="B61" s="19" t="s">
        <v>27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48">
        <f>N58+N59-N60</f>
        <v>9752.388710901274</v>
      </c>
    </row>
    <row r="62" spans="1:27" x14ac:dyDescent="0.45">
      <c r="B62" s="1" t="s">
        <v>28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64">
        <v>238.52</v>
      </c>
    </row>
    <row r="63" spans="1:27" x14ac:dyDescent="0.45">
      <c r="A63" t="s">
        <v>2</v>
      </c>
      <c r="B63" s="19" t="s">
        <v>29</v>
      </c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47">
        <f>N61/N62</f>
        <v>40.887090017194673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9695-58F3-4CD4-90DA-B503E392CA39}">
  <dimension ref="A2:J22"/>
  <sheetViews>
    <sheetView showGridLines="0" zoomScaleNormal="100" workbookViewId="0">
      <selection activeCell="F11" sqref="F11"/>
    </sheetView>
  </sheetViews>
  <sheetFormatPr defaultColWidth="9.59765625" defaultRowHeight="14.25" outlineLevelCol="1" x14ac:dyDescent="0.45"/>
  <cols>
    <col min="1" max="1" width="3.59765625" customWidth="1"/>
    <col min="5" max="10" width="9.59765625" customWidth="1" outlineLevel="1"/>
    <col min="11" max="18" width="9.59765625" customWidth="1"/>
    <col min="22" max="26" width="10.46484375" bestFit="1" customWidth="1"/>
    <col min="27" max="27" width="12" bestFit="1" customWidth="1"/>
    <col min="30" max="30" width="10.33203125" bestFit="1" customWidth="1"/>
  </cols>
  <sheetData>
    <row r="2" spans="1:9" s="1" customFormat="1" ht="21" x14ac:dyDescent="0.65">
      <c r="B2" s="2" t="s">
        <v>20</v>
      </c>
    </row>
    <row r="4" spans="1:9" x14ac:dyDescent="0.45">
      <c r="A4" t="s">
        <v>2</v>
      </c>
      <c r="B4" s="4" t="s">
        <v>20</v>
      </c>
      <c r="C4" s="3"/>
      <c r="D4" s="3"/>
      <c r="E4" s="3"/>
      <c r="F4" s="3"/>
      <c r="G4" s="3"/>
      <c r="H4" s="3"/>
      <c r="I4" s="3"/>
    </row>
    <row r="5" spans="1:9" x14ac:dyDescent="0.45">
      <c r="B5" s="19" t="s">
        <v>44</v>
      </c>
    </row>
    <row r="6" spans="1:9" x14ac:dyDescent="0.45">
      <c r="B6" s="19" t="s">
        <v>45</v>
      </c>
    </row>
    <row r="8" spans="1:9" x14ac:dyDescent="0.45">
      <c r="B8" t="s">
        <v>34</v>
      </c>
      <c r="D8" s="13">
        <v>535.9</v>
      </c>
    </row>
    <row r="9" spans="1:9" x14ac:dyDescent="0.45">
      <c r="B9" t="s">
        <v>35</v>
      </c>
      <c r="D9" s="55">
        <f>D8/D20</f>
        <v>3.8788642071815808E-2</v>
      </c>
    </row>
    <row r="10" spans="1:9" x14ac:dyDescent="0.45">
      <c r="B10" t="s">
        <v>36</v>
      </c>
      <c r="D10" s="54">
        <v>4.9000000000000002E-2</v>
      </c>
    </row>
    <row r="11" spans="1:9" x14ac:dyDescent="0.45">
      <c r="B11" t="s">
        <v>37</v>
      </c>
      <c r="D11" s="54">
        <v>0.21</v>
      </c>
    </row>
    <row r="13" spans="1:9" x14ac:dyDescent="0.45">
      <c r="B13" t="s">
        <v>27</v>
      </c>
      <c r="D13" s="13">
        <v>13280</v>
      </c>
    </row>
    <row r="14" spans="1:9" x14ac:dyDescent="0.45">
      <c r="B14" t="s">
        <v>38</v>
      </c>
      <c r="D14" s="17">
        <f>D13/D20</f>
        <v>0.96121135792818424</v>
      </c>
    </row>
    <row r="15" spans="1:9" x14ac:dyDescent="0.45">
      <c r="B15" t="s">
        <v>39</v>
      </c>
      <c r="D15" s="24">
        <f>D16+(D17*(D18-D16))</f>
        <v>8.6756000000000014E-2</v>
      </c>
    </row>
    <row r="16" spans="1:9" x14ac:dyDescent="0.45">
      <c r="B16" t="s">
        <v>40</v>
      </c>
      <c r="D16" s="54">
        <v>4.1599999999999998E-2</v>
      </c>
    </row>
    <row r="17" spans="1:4" x14ac:dyDescent="0.45">
      <c r="B17" t="s">
        <v>41</v>
      </c>
      <c r="D17" s="56">
        <v>1.59</v>
      </c>
    </row>
    <row r="18" spans="1:4" x14ac:dyDescent="0.45">
      <c r="B18" t="s">
        <v>42</v>
      </c>
      <c r="D18" s="54">
        <v>7.0000000000000007E-2</v>
      </c>
    </row>
    <row r="20" spans="1:4" x14ac:dyDescent="0.45">
      <c r="B20" t="s">
        <v>43</v>
      </c>
      <c r="D20" s="13">
        <f>D13+D8</f>
        <v>13815.9</v>
      </c>
    </row>
    <row r="22" spans="1:4" x14ac:dyDescent="0.45">
      <c r="A22" t="s">
        <v>2</v>
      </c>
      <c r="B22" s="57" t="s">
        <v>20</v>
      </c>
      <c r="C22" s="58"/>
      <c r="D22" s="59">
        <f>(D14*D15)+(D9*(D10*(1-D11)))</f>
        <v>8.489236090301755E-2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658683423"><![CDATA[{"AMZN^FE_ESTIMATE(DEP_AMORT_EXP,MEAN,ANN_ROLL,2022,NOW,,,'')":38716.438,"AMZN^FE_ESTIMATE(DEP_AMORT_EXP,MEAN,ANN_ROLL,2023,NOW,,,'')":44728.72,"AMZN^FE_ESTIMATE(DEP_AMORT_EXP,MEAN,ANN_ROLL,2024,NOW,,,'')":52136.97,"AMZN^FE_ESTIMATE(DEP_AMORT_EXP,MEAN,ANN_ROLL,2025,NOW,,,'')":55507.54,"AMZN^FE_ESTIMATE(DEP_AMORT_EXP,MEAN,ANN_ROLL,2026,NOW,,,'')":58234.55,"AMZN^FE_ESTIMATE(DEP_AMORT_EXP,MEAN,ANN_ROLL,2027,NOW,,,'')":64625.0,"AMZN^FE_ESTIMATE(CAPEX,MEAN,ANN_ROLL,2022,NOW,,,'')":61050.723,"AMZN^FE_ESTIMATE(CAPEX,MEAN,ANN_ROLL,2023,NOW,,,'')":62598.887,"AMZN^FE_ESTIMATE(CAPEX,MEAN,ANN_ROLL,2024,NOW,,,'')":64481.453,"AMZN^FE_ESTIMATE(CAPEX,MEAN,ANN_ROLL,2025,NOW,,,'')":69493.41,"AMZN^FE_ESTIMATE(CAPEX,MEAN,ANN_ROLL,2026,NOW,,,'')":65697.0,"AMZN^FE_ESTIMATE(CAPEX,MEAN,ANN_ROLL,2027,NOW,,,'')":69051.93}]]></FdsFormulaCache>
</file>

<file path=customXml/itemProps1.xml><?xml version="1.0" encoding="utf-8"?>
<ds:datastoreItem xmlns:ds="http://schemas.openxmlformats.org/officeDocument/2006/customXml" ds:itemID="{A526D3C0-3EFD-4AAE-9122-7BC4D1911E20}">
  <ds:schemaRefs>
    <ds:schemaRef ds:uri="urn:fdsformula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DCF</vt:lpstr>
      <vt:lpstr>WACC</vt:lpstr>
      <vt:lpstr>tgr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Karsin Dass</cp:lastModifiedBy>
  <dcterms:created xsi:type="dcterms:W3CDTF">2022-06-12T18:45:32Z</dcterms:created>
  <dcterms:modified xsi:type="dcterms:W3CDTF">2025-12-30T15:14:34Z</dcterms:modified>
</cp:coreProperties>
</file>